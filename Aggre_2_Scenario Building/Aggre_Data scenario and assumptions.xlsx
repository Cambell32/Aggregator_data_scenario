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cambe\Desktop\Data Analytics\Data Analyst Scenarios\Connective SaaS scenario\Aggre_2_Files_Github\Aggre_2_Scenario Building\"/>
    </mc:Choice>
  </mc:AlternateContent>
  <xr:revisionPtr revIDLastSave="0" documentId="13_ncr:1_{16690F2C-3DC0-49AE-907E-BD207DF9B937}" xr6:coauthVersionLast="47" xr6:coauthVersionMax="47" xr10:uidLastSave="{00000000-0000-0000-0000-000000000000}"/>
  <bookViews>
    <workbookView xWindow="28680" yWindow="-90" windowWidth="29040" windowHeight="15720" firstSheet="1" activeTab="1" xr2:uid="{D9C11155-63D2-4265-BC34-43DC4FB8AA54}"/>
  </bookViews>
  <sheets>
    <sheet name="Number of new loan commitments " sheetId="1" r:id="rId1"/>
    <sheet name="Data Connective Scenario Source"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 i="3" l="1"/>
  <c r="I15" i="3"/>
  <c r="F11" i="3"/>
  <c r="F15" i="3"/>
  <c r="F25" i="3"/>
  <c r="D8" i="3"/>
  <c r="D9" i="3"/>
  <c r="J6" i="1"/>
  <c r="I5" i="1"/>
  <c r="I6" i="1"/>
  <c r="G2" i="3"/>
  <c r="I7" i="1"/>
  <c r="I4" i="1"/>
  <c r="J4" i="1"/>
  <c r="E8" i="3" l="1"/>
  <c r="F38" i="3"/>
  <c r="E46" i="3"/>
  <c r="E9" i="3"/>
  <c r="E28" i="3" l="1"/>
  <c r="E18" i="3"/>
  <c r="E22" i="3"/>
  <c r="E21" i="3"/>
  <c r="E40" i="3"/>
  <c r="E39" i="3"/>
  <c r="E47" i="3"/>
  <c r="E48" i="3"/>
  <c r="E32" i="3"/>
  <c r="E31" i="3"/>
  <c r="C7" i="3"/>
  <c r="F7" i="3" s="1"/>
  <c r="F48" i="3" l="1"/>
</calcChain>
</file>

<file path=xl/sharedStrings.xml><?xml version="1.0" encoding="utf-8"?>
<sst xmlns="http://schemas.openxmlformats.org/spreadsheetml/2006/main" count="62" uniqueCount="40">
  <si>
    <t>Number of new loan commitments for dwellings (a), seasonally adjusted, Australia</t>
  </si>
  <si>
    <t>Mar Qtr 25no.</t>
  </si>
  <si>
    <t>Dec Qtr 24 to Mar Qtr 25% change</t>
  </si>
  <si>
    <t>Mar Qtr 24 to Mar Qtr 25% change</t>
  </si>
  <si>
    <t>Total loan commitments</t>
  </si>
  <si>
    <t>Owner occupier</t>
  </si>
  <si>
    <t>First home buyers</t>
  </si>
  <si>
    <t>Non-first home buyers</t>
  </si>
  <si>
    <t>Investor</t>
  </si>
  <si>
    <t>a. Dwelling commitments exclude refinancing.Loan commitments for dwellings includes loans for the purpose of 'Construction of new dwellings', 'Purchase of new dwellings' and 'Purchase of existing dwellings'. 'Residential land' and 'Alterations and additions' are available as separate series.</t>
  </si>
  <si>
    <t>Source: Australian Bureau of Statistics, Lending indicators March Quarter 2025</t>
  </si>
  <si>
    <t>First</t>
  </si>
  <si>
    <t>Portion of all loans</t>
  </si>
  <si>
    <t>investor</t>
  </si>
  <si>
    <t>Investor type</t>
  </si>
  <si>
    <t>non first-home buyers</t>
  </si>
  <si>
    <t>first-home buyers</t>
  </si>
  <si>
    <t>owner-occupier</t>
  </si>
  <si>
    <t>Loan commitment type</t>
  </si>
  <si>
    <t>Fixed</t>
  </si>
  <si>
    <t>Variable</t>
  </si>
  <si>
    <t>Proportion by Rates</t>
  </si>
  <si>
    <t>Loan commitments broken down for data project Dec 2024 to March 2025</t>
  </si>
  <si>
    <t xml:space="preserve">Rejected </t>
  </si>
  <si>
    <t xml:space="preserve">Source: https://checkrate.com.au/home-loans/; Home Loans_ Australian Mortgage Debt Statistics (2025); </t>
  </si>
  <si>
    <t>Source: https://digitalfinanceanalytics.com/blog/mortgage-loan-rejections-still-elevated/</t>
  </si>
  <si>
    <t xml:space="preserve">Used for a calculation from total commitments. Rate is from 2019 and is ultimately an assumption for the purposes of the data project. This was done as rejection data is hard to come by. The rejection numbers are presented as a one to one fraction from the total commitments. </t>
  </si>
  <si>
    <t>Non-first home buyer</t>
  </si>
  <si>
    <t xml:space="preserve">Source: there is no source for this one and it is being assumed for this data scenario from the difference left over from total commitments less the rejected ratio of 40% of commited loans, meaning  60% of the commitments will be used as drop outs </t>
  </si>
  <si>
    <t>Product</t>
  </si>
  <si>
    <t>Loan application</t>
  </si>
  <si>
    <t>Client</t>
  </si>
  <si>
    <t>Total</t>
  </si>
  <si>
    <t>Non-investor</t>
  </si>
  <si>
    <t>first-home buyer</t>
  </si>
  <si>
    <t>non first-home buyer</t>
  </si>
  <si>
    <t>Dropout</t>
  </si>
  <si>
    <t>Grand totals</t>
  </si>
  <si>
    <t>Var</t>
  </si>
  <si>
    <t>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</si>
</sst>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i/>
      <sz val="11"/>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0">
    <xf numFmtId="0" fontId="0" fillId="0" borderId="0" xfId="0"/>
    <xf numFmtId="3" fontId="0" fillId="0" borderId="0" xfId="0" applyNumberFormat="1"/>
    <xf numFmtId="0" fontId="0" fillId="0" borderId="0" xfId="0" quotePrefix="1"/>
    <xf numFmtId="0" fontId="18" fillId="0" borderId="0" xfId="0" applyFont="1"/>
    <xf numFmtId="9" fontId="0" fillId="0" borderId="0" xfId="42" applyFont="1"/>
    <xf numFmtId="10" fontId="0" fillId="0" borderId="0" xfId="0" applyNumberFormat="1"/>
    <xf numFmtId="9" fontId="0" fillId="0" borderId="0" xfId="0" applyNumberFormat="1"/>
    <xf numFmtId="1" fontId="0" fillId="0" borderId="0" xfId="42" applyNumberFormat="1" applyFont="1"/>
    <xf numFmtId="1" fontId="0" fillId="0" borderId="0" xfId="0" quotePrefix="1" applyNumberFormat="1"/>
    <xf numFmtId="1" fontId="0" fillId="0" borderId="0" xfId="0" applyNumberForma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D801B8-D28C-4645-AC3F-52779D43ABC5}">
  <dimension ref="A1:J11"/>
  <sheetViews>
    <sheetView workbookViewId="0">
      <selection activeCell="G11" sqref="G11"/>
    </sheetView>
  </sheetViews>
  <sheetFormatPr defaultRowHeight="15" x14ac:dyDescent="0.25"/>
  <cols>
    <col min="4" max="4" width="12.85546875" bestFit="1" customWidth="1"/>
    <col min="5" max="5" width="30.5703125" bestFit="1" customWidth="1"/>
    <col min="6" max="6" width="30.7109375" bestFit="1" customWidth="1"/>
    <col min="8" max="8" width="19.85546875" bestFit="1" customWidth="1"/>
  </cols>
  <sheetData>
    <row r="1" spans="1:10" x14ac:dyDescent="0.25">
      <c r="A1" t="s">
        <v>0</v>
      </c>
    </row>
    <row r="2" spans="1:10" x14ac:dyDescent="0.25">
      <c r="D2" t="s">
        <v>1</v>
      </c>
      <c r="E2" t="s">
        <v>2</v>
      </c>
      <c r="F2" t="s">
        <v>3</v>
      </c>
    </row>
    <row r="3" spans="1:10" x14ac:dyDescent="0.25">
      <c r="A3" t="s">
        <v>4</v>
      </c>
      <c r="D3" s="1">
        <v>127108</v>
      </c>
      <c r="E3">
        <v>-3.5</v>
      </c>
      <c r="F3">
        <v>6</v>
      </c>
      <c r="H3" t="s">
        <v>5</v>
      </c>
    </row>
    <row r="4" spans="1:10" x14ac:dyDescent="0.25">
      <c r="B4" t="s">
        <v>5</v>
      </c>
      <c r="D4" s="1">
        <v>79890</v>
      </c>
      <c r="E4">
        <v>-3.4</v>
      </c>
      <c r="F4">
        <v>4.4000000000000004</v>
      </c>
      <c r="I4">
        <f>(D4/D3)*100/100</f>
        <v>0.62852062812726184</v>
      </c>
      <c r="J4">
        <f>D3*0.6285206</f>
        <v>79889.996424800003</v>
      </c>
    </row>
    <row r="5" spans="1:10" x14ac:dyDescent="0.25">
      <c r="C5" t="s">
        <v>6</v>
      </c>
      <c r="D5" s="1">
        <v>28383</v>
      </c>
      <c r="E5">
        <v>-4.2</v>
      </c>
      <c r="F5">
        <v>1.3</v>
      </c>
      <c r="H5" t="s">
        <v>11</v>
      </c>
      <c r="I5">
        <f>(D5/J4)*100/100</f>
        <v>0.35527602040534267</v>
      </c>
    </row>
    <row r="6" spans="1:10" x14ac:dyDescent="0.25">
      <c r="C6" t="s">
        <v>7</v>
      </c>
      <c r="D6" s="1">
        <v>50822</v>
      </c>
      <c r="E6">
        <v>-3.8</v>
      </c>
      <c r="F6">
        <v>6.1</v>
      </c>
      <c r="H6" t="s">
        <v>27</v>
      </c>
      <c r="I6">
        <f>(D6/J4)*100/100</f>
        <v>0.63614973431421362</v>
      </c>
      <c r="J6">
        <f>ROUNDUP(SUM(I5:I6),0)</f>
        <v>1</v>
      </c>
    </row>
    <row r="7" spans="1:10" x14ac:dyDescent="0.25">
      <c r="B7" t="s">
        <v>8</v>
      </c>
      <c r="D7" s="1">
        <v>47218</v>
      </c>
      <c r="E7">
        <v>-3.7</v>
      </c>
      <c r="F7">
        <v>8.8000000000000007</v>
      </c>
      <c r="H7" t="s">
        <v>8</v>
      </c>
      <c r="I7">
        <f>(D7/D3)*100/100</f>
        <v>0.37147937187273816</v>
      </c>
    </row>
    <row r="9" spans="1:10" x14ac:dyDescent="0.25">
      <c r="A9" t="s">
        <v>9</v>
      </c>
    </row>
    <row r="11" spans="1:10" x14ac:dyDescent="0.25">
      <c r="A11" t="s">
        <v>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30528F-A568-4676-A0D2-9805BCA75AFC}">
  <dimension ref="A1:K50"/>
  <sheetViews>
    <sheetView tabSelected="1" zoomScale="85" zoomScaleNormal="85" workbookViewId="0">
      <selection activeCell="H27" sqref="H27"/>
    </sheetView>
  </sheetViews>
  <sheetFormatPr defaultRowHeight="15" x14ac:dyDescent="0.25"/>
  <cols>
    <col min="1" max="1" width="21.140625" bestFit="1" customWidth="1"/>
    <col min="2" max="2" width="18" bestFit="1" customWidth="1"/>
    <col min="3" max="3" width="20.5703125" bestFit="1" customWidth="1"/>
    <col min="4" max="5" width="19.5703125" bestFit="1" customWidth="1"/>
    <col min="6" max="6" width="10.7109375" bestFit="1" customWidth="1"/>
    <col min="9" max="9" width="21.140625" bestFit="1" customWidth="1"/>
    <col min="10" max="10" width="10.7109375" bestFit="1" customWidth="1"/>
  </cols>
  <sheetData>
    <row r="1" spans="1:10" x14ac:dyDescent="0.25">
      <c r="A1" t="s">
        <v>22</v>
      </c>
      <c r="G1" t="s">
        <v>37</v>
      </c>
    </row>
    <row r="2" spans="1:10" x14ac:dyDescent="0.25">
      <c r="A2" t="s">
        <v>4</v>
      </c>
      <c r="B2" s="3"/>
      <c r="G2" s="1">
        <f>'Number of new loan commitments '!D3</f>
        <v>127108</v>
      </c>
      <c r="H2" s="3" t="s">
        <v>30</v>
      </c>
    </row>
    <row r="3" spans="1:10" x14ac:dyDescent="0.25">
      <c r="A3" t="s">
        <v>21</v>
      </c>
      <c r="B3" s="3" t="s">
        <v>29</v>
      </c>
      <c r="H3" s="3"/>
    </row>
    <row r="4" spans="1:10" x14ac:dyDescent="0.25">
      <c r="B4" t="s">
        <v>20</v>
      </c>
      <c r="C4" s="4">
        <v>0.98</v>
      </c>
      <c r="F4" s="1"/>
    </row>
    <row r="5" spans="1:10" x14ac:dyDescent="0.25">
      <c r="B5" t="s">
        <v>19</v>
      </c>
      <c r="C5" s="4">
        <v>0.02</v>
      </c>
      <c r="F5" s="1"/>
    </row>
    <row r="6" spans="1:10" x14ac:dyDescent="0.25">
      <c r="A6" t="s">
        <v>18</v>
      </c>
      <c r="C6" s="3" t="s">
        <v>31</v>
      </c>
    </row>
    <row r="7" spans="1:10" x14ac:dyDescent="0.25">
      <c r="B7" t="s">
        <v>17</v>
      </c>
      <c r="C7" s="4">
        <f>E8+E9</f>
        <v>0.62313151021178848</v>
      </c>
      <c r="F7" s="1">
        <f>G2*C7</f>
        <v>79205.000000000015</v>
      </c>
    </row>
    <row r="8" spans="1:10" x14ac:dyDescent="0.25">
      <c r="C8" t="s">
        <v>16</v>
      </c>
      <c r="D8" s="1">
        <f>'Number of new loan commitments '!D5</f>
        <v>28383</v>
      </c>
      <c r="E8" s="4">
        <f>D8/$G$2</f>
        <v>0.22329829751077823</v>
      </c>
    </row>
    <row r="9" spans="1:10" x14ac:dyDescent="0.25">
      <c r="C9" t="s">
        <v>15</v>
      </c>
      <c r="D9" s="1">
        <f>'Number of new loan commitments '!D6</f>
        <v>50822</v>
      </c>
      <c r="E9" s="4">
        <f>D9/G2</f>
        <v>0.39983321270101019</v>
      </c>
      <c r="F9" s="1"/>
      <c r="G9" s="1"/>
      <c r="J9" s="1"/>
    </row>
    <row r="10" spans="1:10" x14ac:dyDescent="0.25">
      <c r="B10" t="s">
        <v>14</v>
      </c>
    </row>
    <row r="11" spans="1:10" x14ac:dyDescent="0.25">
      <c r="C11" t="s">
        <v>13</v>
      </c>
      <c r="E11" s="6">
        <v>0.38</v>
      </c>
      <c r="F11" s="1">
        <f>'Number of new loan commitments '!D7</f>
        <v>47218</v>
      </c>
    </row>
    <row r="12" spans="1:10" x14ac:dyDescent="0.25">
      <c r="D12" s="8"/>
      <c r="E12" s="6"/>
      <c r="G12" s="1"/>
    </row>
    <row r="13" spans="1:10" x14ac:dyDescent="0.25">
      <c r="D13" s="1"/>
      <c r="E13" s="5"/>
    </row>
    <row r="14" spans="1:10" x14ac:dyDescent="0.25">
      <c r="B14" t="s">
        <v>19</v>
      </c>
    </row>
    <row r="15" spans="1:10" x14ac:dyDescent="0.25">
      <c r="C15" t="s">
        <v>12</v>
      </c>
      <c r="D15" s="6">
        <v>0.02</v>
      </c>
      <c r="F15" s="7">
        <f>G2*D15</f>
        <v>2542.16</v>
      </c>
      <c r="I15">
        <f>127108-966</f>
        <v>126142</v>
      </c>
    </row>
    <row r="17" spans="2:10" x14ac:dyDescent="0.25">
      <c r="C17" t="s">
        <v>8</v>
      </c>
      <c r="E17" s="9"/>
    </row>
    <row r="18" spans="2:10" x14ac:dyDescent="0.25">
      <c r="D18" t="s">
        <v>8</v>
      </c>
      <c r="E18" s="9">
        <f>F15*E11</f>
        <v>966.02080000000001</v>
      </c>
      <c r="G18" s="9"/>
    </row>
    <row r="19" spans="2:10" x14ac:dyDescent="0.25">
      <c r="E19" s="9"/>
      <c r="I19" s="8"/>
    </row>
    <row r="20" spans="2:10" x14ac:dyDescent="0.25">
      <c r="C20" t="s">
        <v>33</v>
      </c>
      <c r="E20" s="9"/>
      <c r="I20" s="9"/>
    </row>
    <row r="21" spans="2:10" x14ac:dyDescent="0.25">
      <c r="D21" t="s">
        <v>34</v>
      </c>
      <c r="E21" s="9">
        <f>F15*E8</f>
        <v>567.66</v>
      </c>
      <c r="G21" s="9"/>
      <c r="I21" s="9"/>
    </row>
    <row r="22" spans="2:10" x14ac:dyDescent="0.25">
      <c r="D22" t="s">
        <v>35</v>
      </c>
      <c r="E22" s="9">
        <f>F15*E9</f>
        <v>1016.44</v>
      </c>
      <c r="G22" s="9"/>
      <c r="I22" s="9"/>
    </row>
    <row r="23" spans="2:10" x14ac:dyDescent="0.25">
      <c r="E23" s="9"/>
    </row>
    <row r="24" spans="2:10" x14ac:dyDescent="0.25">
      <c r="B24" t="s">
        <v>20</v>
      </c>
      <c r="E24" s="9"/>
      <c r="J24" s="9"/>
    </row>
    <row r="25" spans="2:10" x14ac:dyDescent="0.25">
      <c r="C25" t="s">
        <v>12</v>
      </c>
      <c r="E25" s="9"/>
      <c r="F25">
        <f>ROUNDUP(G2*F26,0)</f>
        <v>124566</v>
      </c>
    </row>
    <row r="26" spans="2:10" x14ac:dyDescent="0.25">
      <c r="E26" s="9"/>
      <c r="F26" s="6">
        <v>0.98</v>
      </c>
    </row>
    <row r="27" spans="2:10" x14ac:dyDescent="0.25">
      <c r="C27" t="s">
        <v>8</v>
      </c>
      <c r="E27" s="9"/>
      <c r="I27">
        <f>49806+27815+568</f>
        <v>78189</v>
      </c>
    </row>
    <row r="28" spans="2:10" x14ac:dyDescent="0.25">
      <c r="D28" t="s">
        <v>8</v>
      </c>
      <c r="E28" s="9">
        <f>F25*E11</f>
        <v>47335.08</v>
      </c>
    </row>
    <row r="29" spans="2:10" x14ac:dyDescent="0.25">
      <c r="E29" s="9"/>
      <c r="G29" s="9"/>
    </row>
    <row r="30" spans="2:10" x14ac:dyDescent="0.25">
      <c r="C30" t="s">
        <v>33</v>
      </c>
      <c r="E30" s="9"/>
      <c r="F30" s="2"/>
    </row>
    <row r="31" spans="2:10" x14ac:dyDescent="0.25">
      <c r="D31" t="s">
        <v>34</v>
      </c>
      <c r="E31" s="9">
        <f>F25*E8</f>
        <v>27815.375727727602</v>
      </c>
      <c r="G31" s="9"/>
    </row>
    <row r="32" spans="2:10" x14ac:dyDescent="0.25">
      <c r="D32" t="s">
        <v>35</v>
      </c>
      <c r="E32" s="9">
        <f>F25*E9</f>
        <v>49805.623973314032</v>
      </c>
    </row>
    <row r="33" spans="1:11" x14ac:dyDescent="0.25">
      <c r="E33" s="9"/>
    </row>
    <row r="34" spans="1:11" x14ac:dyDescent="0.25">
      <c r="A34" t="s">
        <v>10</v>
      </c>
      <c r="E34" s="9"/>
      <c r="G34" s="3" t="s">
        <v>30</v>
      </c>
      <c r="H34" s="1"/>
    </row>
    <row r="35" spans="1:11" x14ac:dyDescent="0.25">
      <c r="A35" t="s">
        <v>24</v>
      </c>
      <c r="E35" s="9"/>
      <c r="G35" t="s">
        <v>32</v>
      </c>
    </row>
    <row r="37" spans="1:11" x14ac:dyDescent="0.25">
      <c r="A37" t="s">
        <v>23</v>
      </c>
      <c r="J37" t="s">
        <v>38</v>
      </c>
      <c r="K37" t="s">
        <v>39</v>
      </c>
    </row>
    <row r="38" spans="1:11" x14ac:dyDescent="0.25">
      <c r="A38" t="s">
        <v>32</v>
      </c>
      <c r="B38" s="4">
        <v>0.4</v>
      </c>
      <c r="F38">
        <f>ROUNDUP(G2*B38,0)</f>
        <v>50844</v>
      </c>
    </row>
    <row r="39" spans="1:11" x14ac:dyDescent="0.25">
      <c r="C39" t="s">
        <v>20</v>
      </c>
      <c r="D39" s="6">
        <v>0.98</v>
      </c>
      <c r="E39">
        <f>ROUNDUP(F38*C4,0)</f>
        <v>49828</v>
      </c>
    </row>
    <row r="40" spans="1:11" x14ac:dyDescent="0.25">
      <c r="C40" t="s">
        <v>19</v>
      </c>
      <c r="D40" s="6">
        <v>0.02</v>
      </c>
      <c r="E40">
        <f>ROUNDUP($F$38*D40,0)</f>
        <v>1017</v>
      </c>
    </row>
    <row r="42" spans="1:11" x14ac:dyDescent="0.25">
      <c r="A42" t="s">
        <v>25</v>
      </c>
      <c r="G42" s="3"/>
    </row>
    <row r="43" spans="1:11" x14ac:dyDescent="0.25">
      <c r="A43" t="s">
        <v>26</v>
      </c>
    </row>
    <row r="45" spans="1:11" x14ac:dyDescent="0.25">
      <c r="A45" t="s">
        <v>36</v>
      </c>
      <c r="B45" s="3" t="s">
        <v>31</v>
      </c>
    </row>
    <row r="46" spans="1:11" x14ac:dyDescent="0.25">
      <c r="A46" t="s">
        <v>32</v>
      </c>
      <c r="B46" s="4">
        <v>0.6</v>
      </c>
      <c r="E46">
        <f>ROUNDUP(G2*B46,0)</f>
        <v>76265</v>
      </c>
    </row>
    <row r="47" spans="1:11" x14ac:dyDescent="0.25">
      <c r="C47" t="s">
        <v>20</v>
      </c>
      <c r="D47" s="6">
        <v>0.98</v>
      </c>
      <c r="E47">
        <f>ROUNDUP($E$46*D47,0)</f>
        <v>74740</v>
      </c>
    </row>
    <row r="48" spans="1:11" x14ac:dyDescent="0.25">
      <c r="C48" t="s">
        <v>19</v>
      </c>
      <c r="D48" s="6">
        <v>0.02</v>
      </c>
      <c r="E48">
        <f>ROUNDUP($E$46*D48,0)</f>
        <v>1526</v>
      </c>
      <c r="F48">
        <f>SUM(E47:E48)</f>
        <v>76266</v>
      </c>
    </row>
    <row r="49" spans="1:4" x14ac:dyDescent="0.25">
      <c r="D49" s="4"/>
    </row>
    <row r="50" spans="1:4" x14ac:dyDescent="0.25">
      <c r="A50" t="s">
        <v>28</v>
      </c>
    </row>
  </sheetData>
  <pageMargins left="0.7" right="0.7" top="0.75" bottom="0.75" header="0.3" footer="0.3"/>
  <pageSetup paperSize="9" orientation="portrait" horizontalDpi="4294967292"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Number of new loan commitments </vt:lpstr>
      <vt:lpstr>Data Connective Scenario Source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Cambell</dc:creator>
  <cp:lastModifiedBy>Cambell Craigie</cp:lastModifiedBy>
  <dcterms:created xsi:type="dcterms:W3CDTF">2025-07-12T06:57:00Z</dcterms:created>
  <dcterms:modified xsi:type="dcterms:W3CDTF">2025-10-20T04:52:31Z</dcterms:modified>
</cp:coreProperties>
</file>